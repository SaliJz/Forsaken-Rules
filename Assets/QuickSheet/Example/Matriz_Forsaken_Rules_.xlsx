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0" documentId="8_{2C7FD7CF-A339-4312-B573-1BDA206ED70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nemies" sheetId="1" r:id="rId1"/>
    <sheet name="GlobalSetting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<sst xmlns="http://schemas.openxmlformats.org/spreadsheetml/2006/main" count="65" uniqueCount="46">
  <si>
    <t>ID</t>
  </si>
  <si>
    <t>Name</t>
  </si>
  <si>
    <t>PerceivedDifficulty</t>
  </si>
  <si>
    <t>DifficultyValue</t>
  </si>
  <si>
    <t>Health</t>
  </si>
  <si>
    <t>SuperArmor</t>
  </si>
  <si>
    <t>AttackFrequency</t>
  </si>
  <si>
    <t>MoveSpeed</t>
  </si>
  <si>
    <t>RegularDamage</t>
  </si>
  <si>
    <t>MineDamage</t>
  </si>
  <si>
    <t>DashTrailDamage</t>
  </si>
  <si>
    <t>ExplosionAreaDamage</t>
  </si>
  <si>
    <t>LarvaSpawnRate</t>
  </si>
  <si>
    <t>SuperArmorRegen</t>
  </si>
  <si>
    <t>Veynar_N3</t>
  </si>
  <si>
    <t>Hard</t>
  </si>
  <si>
    <t>Colmena</t>
  </si>
  <si>
    <t>Medium</t>
  </si>
  <si>
    <t>Veynar_N3_SA</t>
  </si>
  <si>
    <t>Larva</t>
  </si>
  <si>
    <t>Easy</t>
  </si>
  <si>
    <t>Static_N1</t>
  </si>
  <si>
    <t>Static_N1_SA</t>
  </si>
  <si>
    <t>Static_N2</t>
  </si>
  <si>
    <t>Static_N2_SA</t>
  </si>
  <si>
    <t>Jitter_N1</t>
  </si>
  <si>
    <t>Jitter_N1_SA</t>
  </si>
  <si>
    <t>Reel_N2</t>
  </si>
  <si>
    <t>Reel_N2_SA</t>
  </si>
  <si>
    <t>Static_N3</t>
  </si>
  <si>
    <t>Static_N3_SA</t>
  </si>
  <si>
    <t>Aporia_N1</t>
  </si>
  <si>
    <t>Aporia_N3</t>
  </si>
  <si>
    <t>Aporia_N2</t>
  </si>
  <si>
    <t>Aporia_N1_SA</t>
  </si>
  <si>
    <t>Aporia_N3_SA</t>
  </si>
  <si>
    <t>Aporia_N2_SA</t>
  </si>
  <si>
    <t>The_Host</t>
  </si>
  <si>
    <t>Boss</t>
  </si>
  <si>
    <t>The_Weight</t>
  </si>
  <si>
    <t>The_One_who_Shattered</t>
  </si>
  <si>
    <t>Constant</t>
  </si>
  <si>
    <t>Value</t>
  </si>
  <si>
    <t>Health Constant</t>
  </si>
  <si>
    <t>Speed Constant</t>
  </si>
  <si>
    <t>Larva Difficulty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</si>
</sst>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topLeftCell="A11" workbookViewId="0">
      <selection activeCell="E16" sqref="E16"/>
    </sheetView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15</v>
      </c>
      <c r="B2" t="s">
        <v>14</v>
      </c>
      <c r="C2" t="s">
        <v>15</v>
      </c>
      <c r="D2">
        <f>((E2*GlobalSettings!$B$2)+(F2*GlobalSettings!$B$2)+(N2*G2)+H2*GlobalSettings!$B$3*G2*(I2+J2+K2+L2)+(GlobalSettings!$B$4*M2))</f>
        <v>60</v>
      </c>
      <c r="E2">
        <v>30</v>
      </c>
      <c r="F2">
        <v>0</v>
      </c>
      <c r="G2">
        <v>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>
        <v>18</v>
      </c>
      <c r="B3" t="s">
        <v>16</v>
      </c>
      <c r="C3" t="s">
        <v>17</v>
      </c>
      <c r="D3">
        <f>((E3*GlobalSettings!$B$2)+(F3*GlobalSettings!$B$2)+(N3*G3)+H3*GlobalSettings!$B$3*G3*(I3+J3+K3+L3)+(GlobalSettings!$B$4*M3))</f>
        <v>100</v>
      </c>
      <c r="E3">
        <v>50</v>
      </c>
      <c r="F3">
        <v>0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>
        <v>16</v>
      </c>
      <c r="B4" t="s">
        <v>18</v>
      </c>
      <c r="C4" t="s">
        <v>15</v>
      </c>
      <c r="D4">
        <f>((E4*GlobalSettings!$B$2)+(F4*GlobalSettings!$B$2)+(N4*G4)+H4*GlobalSettings!$B$3*G4*(I4+J4+K4+L4)+(GlobalSettings!$B$4*M4))</f>
        <v>128</v>
      </c>
      <c r="E4">
        <v>30</v>
      </c>
      <c r="F4">
        <v>34</v>
      </c>
      <c r="G4">
        <v>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>
        <v>17</v>
      </c>
      <c r="B5" t="s">
        <v>19</v>
      </c>
      <c r="C5" t="s">
        <v>20</v>
      </c>
      <c r="D5">
        <f>((E5*GlobalSettings!$B$2)+(F5*GlobalSettings!$B$2)+(N5*G5)+H5*GlobalSettings!$B$3*G5*(I5+J5+K5+L5)+(GlobalSettings!$B$4*M5))</f>
        <v>3.3125</v>
      </c>
      <c r="E5">
        <v>1</v>
      </c>
      <c r="F5">
        <v>0</v>
      </c>
      <c r="G5">
        <v>1</v>
      </c>
      <c r="H5">
        <v>3.5</v>
      </c>
      <c r="I5">
        <v>3.75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>
        <v>1</v>
      </c>
      <c r="B6" t="s">
        <v>21</v>
      </c>
      <c r="C6" t="s">
        <v>20</v>
      </c>
      <c r="D6">
        <f>((E6*GlobalSettings!$B$2)+(F6*GlobalSettings!$B$2)+(N6*G6)+H6*GlobalSettings!$B$3*G6*(I6+J6+K6+L6)+(GlobalSettings!$B$4*M6))</f>
        <v>57.25</v>
      </c>
      <c r="E6">
        <v>8</v>
      </c>
      <c r="F6">
        <v>0</v>
      </c>
      <c r="G6">
        <v>1.5</v>
      </c>
      <c r="H6">
        <v>50</v>
      </c>
      <c r="I6">
        <v>5.5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>
        <v>2</v>
      </c>
      <c r="B7" t="s">
        <v>22</v>
      </c>
      <c r="C7" t="s">
        <v>20</v>
      </c>
      <c r="D7">
        <f>((E7*GlobalSettings!$B$2)+(F7*GlobalSettings!$B$2)+(N7*G7)+H7*GlobalSettings!$B$3*G7*(I7+J7+K7+L7)+(GlobalSettings!$B$4*M7))</f>
        <v>81.25</v>
      </c>
      <c r="E7">
        <v>8</v>
      </c>
      <c r="F7">
        <v>12</v>
      </c>
      <c r="G7">
        <v>1.5</v>
      </c>
      <c r="H7">
        <v>50</v>
      </c>
      <c r="I7">
        <v>5.5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>
        <v>5</v>
      </c>
      <c r="B8" t="s">
        <v>23</v>
      </c>
      <c r="C8" t="s">
        <v>17</v>
      </c>
      <c r="D8">
        <f>((E8*GlobalSettings!$B$2)+(F8*GlobalSettings!$B$2)+(N8*G8)+H8*GlobalSettings!$B$3*G8*(I8+J8+K8+L8)+(GlobalSettings!$B$4*M8))</f>
        <v>200</v>
      </c>
      <c r="E8">
        <v>12</v>
      </c>
      <c r="F8">
        <v>0</v>
      </c>
      <c r="G8">
        <v>1.6</v>
      </c>
      <c r="H8">
        <v>50</v>
      </c>
      <c r="I8">
        <v>7</v>
      </c>
      <c r="J8">
        <v>15</v>
      </c>
      <c r="K8">
        <v>0</v>
      </c>
      <c r="L8">
        <v>0</v>
      </c>
      <c r="M8">
        <v>0</v>
      </c>
      <c r="N8">
        <v>0</v>
      </c>
    </row>
    <row r="9" spans="1:14">
      <c r="A9">
        <v>6</v>
      </c>
      <c r="B9" t="s">
        <v>24</v>
      </c>
      <c r="C9" t="s">
        <v>17</v>
      </c>
      <c r="D9">
        <f>((E9*GlobalSettings!$B$2)+(F9*GlobalSettings!$B$2)+(N9*G9)+H9*GlobalSettings!$B$3*G9*(I9+J9+K9+L9)+(GlobalSettings!$B$4*M9))</f>
        <v>221</v>
      </c>
      <c r="E9">
        <v>12</v>
      </c>
      <c r="F9">
        <v>16</v>
      </c>
      <c r="G9">
        <v>1.5</v>
      </c>
      <c r="H9">
        <v>50</v>
      </c>
      <c r="I9">
        <v>7</v>
      </c>
      <c r="J9">
        <v>15</v>
      </c>
      <c r="K9">
        <v>0</v>
      </c>
      <c r="L9">
        <v>0</v>
      </c>
      <c r="M9">
        <v>0</v>
      </c>
      <c r="N9">
        <v>0</v>
      </c>
    </row>
    <row r="10" spans="1:14">
      <c r="A10">
        <v>13</v>
      </c>
      <c r="B10" t="s">
        <v>25</v>
      </c>
      <c r="C10" t="s">
        <v>17</v>
      </c>
      <c r="D10">
        <f>((E10*GlobalSettings!$B$2)+(F10*GlobalSettings!$B$2)+(N10*G10)+H10*GlobalSettings!$B$3*G10*(I10+J10+K10+L10)+(GlobalSettings!$B$4*M10))</f>
        <v>59.25</v>
      </c>
      <c r="E10">
        <v>24</v>
      </c>
      <c r="F10">
        <v>0</v>
      </c>
      <c r="G10">
        <v>1.5</v>
      </c>
      <c r="H10">
        <v>10</v>
      </c>
      <c r="I10">
        <v>7.5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>
        <v>14</v>
      </c>
      <c r="B11" t="s">
        <v>26</v>
      </c>
      <c r="C11" t="s">
        <v>17</v>
      </c>
      <c r="D11">
        <f>((E11*GlobalSettings!$B$2)+(F11*GlobalSettings!$B$2)+(N11*G11)+H11*GlobalSettings!$B$3*G11*(I11+J11+K11+L11)+(GlobalSettings!$B$4*M11))</f>
        <v>115.25</v>
      </c>
      <c r="E11">
        <v>24</v>
      </c>
      <c r="F11">
        <v>28</v>
      </c>
      <c r="G11">
        <v>1.5</v>
      </c>
      <c r="H11">
        <v>10</v>
      </c>
      <c r="I11">
        <v>7.5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>
        <v>19</v>
      </c>
      <c r="B12" t="s">
        <v>27</v>
      </c>
      <c r="C12" t="s">
        <v>15</v>
      </c>
      <c r="D12">
        <f>((E12*GlobalSettings!$B$2)+(F12*GlobalSettings!$B$2)+(N12*G12)+H12*GlobalSettings!$B$3*G12*(I12+J12+K12+L12)+(GlobalSettings!$B$4*M12))</f>
        <v>131.30000000000001</v>
      </c>
      <c r="E12">
        <v>24</v>
      </c>
      <c r="F12">
        <v>28</v>
      </c>
      <c r="G12">
        <v>1.5</v>
      </c>
      <c r="H12">
        <v>5</v>
      </c>
      <c r="I12">
        <v>10</v>
      </c>
      <c r="J12">
        <v>0</v>
      </c>
      <c r="K12">
        <v>0</v>
      </c>
      <c r="L12">
        <v>0</v>
      </c>
      <c r="M12">
        <v>6</v>
      </c>
      <c r="N12">
        <v>0</v>
      </c>
    </row>
    <row r="13" spans="1:14">
      <c r="A13">
        <v>20</v>
      </c>
      <c r="B13" t="s">
        <v>28</v>
      </c>
      <c r="C13" t="s">
        <v>15</v>
      </c>
      <c r="D13">
        <f>((E13*GlobalSettings!$B$2)+(F13*GlobalSettings!$B$2)+(N13*G13)+H13*GlobalSettings!$B$3*G13*(I13+J13+K13+L13)+(GlobalSettings!$B$4*M13))</f>
        <v>131.30000000000001</v>
      </c>
      <c r="E13">
        <v>24</v>
      </c>
      <c r="F13">
        <v>28</v>
      </c>
      <c r="G13">
        <v>1.5</v>
      </c>
      <c r="H13">
        <v>5</v>
      </c>
      <c r="I13">
        <v>10</v>
      </c>
      <c r="J13">
        <v>0</v>
      </c>
      <c r="K13">
        <v>0</v>
      </c>
      <c r="L13">
        <v>0</v>
      </c>
      <c r="M13">
        <v>6</v>
      </c>
      <c r="N13">
        <v>0</v>
      </c>
    </row>
    <row r="14" spans="1:14">
      <c r="A14">
        <v>9</v>
      </c>
      <c r="B14" t="s">
        <v>29</v>
      </c>
      <c r="C14" t="s">
        <v>15</v>
      </c>
      <c r="D14">
        <f>((E14*GlobalSettings!$B$2)+(F14*GlobalSettings!$B$2)+(N14*G14)+H14*GlobalSettings!$B$3*G14*(I14+J14+K14+L14)+(GlobalSettings!$B$4*M14))</f>
        <v>129.5</v>
      </c>
      <c r="E14">
        <v>16</v>
      </c>
      <c r="F14">
        <v>0</v>
      </c>
      <c r="G14">
        <v>1.5</v>
      </c>
      <c r="H14">
        <v>50</v>
      </c>
      <c r="I14">
        <v>13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>
        <v>10</v>
      </c>
      <c r="B15" t="s">
        <v>30</v>
      </c>
      <c r="C15" t="s">
        <v>15</v>
      </c>
      <c r="D15">
        <f>((E15*GlobalSettings!$B$2)+(F15*GlobalSettings!$B$2)+(N15*G15)+H15*GlobalSettings!$B$3*G15*(I15+J15+K15+L15)+(GlobalSettings!$B$4*M15))</f>
        <v>169.5</v>
      </c>
      <c r="E15">
        <v>16</v>
      </c>
      <c r="F15">
        <v>20</v>
      </c>
      <c r="G15">
        <v>1.5</v>
      </c>
      <c r="H15">
        <v>50</v>
      </c>
      <c r="I15">
        <v>13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>
        <v>3</v>
      </c>
      <c r="B16" t="s">
        <v>31</v>
      </c>
      <c r="C16" t="s">
        <v>20</v>
      </c>
      <c r="D16">
        <f>((E16*GlobalSettings!$B$2)+(F16*GlobalSettings!$B$2)+(N16*G16)+H16*GlobalSettings!$B$3*G16*(I16+J16+K16+L16)+(GlobalSettings!$B$4*M16))</f>
        <v>64</v>
      </c>
      <c r="E16">
        <v>16</v>
      </c>
      <c r="F16">
        <v>0</v>
      </c>
      <c r="G16">
        <v>1.6</v>
      </c>
      <c r="H16">
        <v>10</v>
      </c>
      <c r="I16">
        <v>20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>
        <v>11</v>
      </c>
      <c r="B17" t="s">
        <v>32</v>
      </c>
      <c r="C17" t="s">
        <v>15</v>
      </c>
      <c r="D17">
        <f>((E17*GlobalSettings!$B$2)+(F17*GlobalSettings!$B$2)+(N17*G17)+H17*GlobalSettings!$B$3*G17*(I17+J17+K17+L17)+(GlobalSettings!$B$4*M17))</f>
        <v>91.34</v>
      </c>
      <c r="E17">
        <v>24</v>
      </c>
      <c r="F17">
        <v>0</v>
      </c>
      <c r="G17">
        <v>1.43</v>
      </c>
      <c r="H17">
        <v>14</v>
      </c>
      <c r="I17">
        <v>20</v>
      </c>
      <c r="J17">
        <v>0</v>
      </c>
      <c r="K17">
        <v>0</v>
      </c>
      <c r="L17">
        <v>0</v>
      </c>
      <c r="M17">
        <v>1</v>
      </c>
      <c r="N17">
        <v>0</v>
      </c>
    </row>
    <row r="18" spans="1:14">
      <c r="A18">
        <v>7</v>
      </c>
      <c r="B18" t="s">
        <v>33</v>
      </c>
      <c r="C18" t="s">
        <v>17</v>
      </c>
      <c r="D18">
        <f>((E18*GlobalSettings!$B$2)+(F18*GlobalSettings!$B$2)+(N18*G18)+H18*GlobalSettings!$B$3*G18*(I18+J18+K18+L18)+(GlobalSettings!$B$4*M18))</f>
        <v>111.60400000000001</v>
      </c>
      <c r="E18">
        <v>20</v>
      </c>
      <c r="F18">
        <v>0</v>
      </c>
      <c r="G18">
        <v>1.53</v>
      </c>
      <c r="H18">
        <v>12</v>
      </c>
      <c r="I18">
        <v>20</v>
      </c>
      <c r="J18">
        <v>0</v>
      </c>
      <c r="K18">
        <v>4</v>
      </c>
      <c r="L18">
        <v>15</v>
      </c>
      <c r="M18">
        <v>0</v>
      </c>
      <c r="N18">
        <v>0</v>
      </c>
    </row>
    <row r="19" spans="1:14">
      <c r="A19">
        <v>4</v>
      </c>
      <c r="B19" t="s">
        <v>34</v>
      </c>
      <c r="C19" t="s">
        <v>20</v>
      </c>
      <c r="D19">
        <f>((E19*GlobalSettings!$B$2)+(F19*GlobalSettings!$B$2)+(N19*G19)+H19*GlobalSettings!$B$3*G19*(I19+J19+K19+L19)+(GlobalSettings!$B$4*M19))</f>
        <v>116.80000000000001</v>
      </c>
      <c r="E19">
        <v>16</v>
      </c>
      <c r="F19">
        <v>20</v>
      </c>
      <c r="G19">
        <v>1.6</v>
      </c>
      <c r="H19">
        <v>14</v>
      </c>
      <c r="I19">
        <v>20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>
        <v>12</v>
      </c>
      <c r="B20" t="s">
        <v>35</v>
      </c>
      <c r="C20" t="s">
        <v>15</v>
      </c>
      <c r="D20">
        <f>((E20*GlobalSettings!$B$2)+(F20*GlobalSettings!$B$2)+(N20*G20)+H20*GlobalSettings!$B$3*G20*(I20+J20+K20+L20)+(GlobalSettings!$B$4*M20))</f>
        <v>135.9</v>
      </c>
      <c r="E20">
        <v>24</v>
      </c>
      <c r="F20">
        <v>28</v>
      </c>
      <c r="G20">
        <v>1.43</v>
      </c>
      <c r="H20">
        <v>10</v>
      </c>
      <c r="I20">
        <v>20</v>
      </c>
      <c r="J20">
        <v>0</v>
      </c>
      <c r="K20">
        <v>0</v>
      </c>
      <c r="L20">
        <v>0</v>
      </c>
      <c r="M20">
        <v>1</v>
      </c>
      <c r="N20">
        <v>0</v>
      </c>
    </row>
    <row r="21" spans="1:14">
      <c r="A21">
        <v>8</v>
      </c>
      <c r="B21" t="s">
        <v>36</v>
      </c>
      <c r="C21" t="s">
        <v>17</v>
      </c>
      <c r="D21">
        <f>((E21*GlobalSettings!$B$2)+(F21*GlobalSettings!$B$2)+(N21*G21)+H21*GlobalSettings!$B$3*G21*(I21+J21+K21+L21)+(GlobalSettings!$B$4*M21))</f>
        <v>159.60400000000001</v>
      </c>
      <c r="E21">
        <v>20</v>
      </c>
      <c r="F21">
        <v>24</v>
      </c>
      <c r="G21">
        <v>1.53</v>
      </c>
      <c r="H21">
        <v>12</v>
      </c>
      <c r="I21">
        <v>20</v>
      </c>
      <c r="J21">
        <v>0</v>
      </c>
      <c r="K21">
        <v>4</v>
      </c>
      <c r="L21">
        <v>15</v>
      </c>
      <c r="M21">
        <v>0</v>
      </c>
      <c r="N21">
        <v>0</v>
      </c>
    </row>
    <row r="22" spans="1:14">
      <c r="A22">
        <v>21</v>
      </c>
      <c r="B22" t="s">
        <v>37</v>
      </c>
      <c r="C22" t="s">
        <v>38</v>
      </c>
      <c r="E22">
        <v>400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>
        <v>22</v>
      </c>
      <c r="B23" t="s">
        <v>39</v>
      </c>
      <c r="C23" t="s">
        <v>38</v>
      </c>
      <c r="E23">
        <v>400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>
        <v>23</v>
      </c>
      <c r="B24" t="s">
        <v>40</v>
      </c>
      <c r="C24" t="s">
        <v>38</v>
      </c>
      <c r="E24">
        <v>400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/>
  <sheetData>
    <row r="1" spans="1:2">
      <c r="A1" s="1" t="s">
        <v>41</v>
      </c>
      <c r="B1" s="1" t="s">
        <v>42</v>
      </c>
    </row>
    <row r="2" spans="1:2">
      <c r="A2" t="s">
        <v>43</v>
      </c>
      <c r="B2">
        <v>2</v>
      </c>
    </row>
    <row r="3" spans="1:2">
      <c r="A3" t="s">
        <v>44</v>
      </c>
      <c r="B3">
        <v>0.1</v>
      </c>
    </row>
    <row r="4" spans="1:2">
      <c r="A4" t="s">
        <v>45</v>
      </c>
      <c r="B4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2026-05-08T21:27:22Z</dcterms:created>
  <dcterms:modified xsi:type="dcterms:W3CDTF">2026-05-08T22:46:51Z</dcterms:modified>
  <cp:category/>
  <cp:contentStatus/>
</cp:coreProperties>
</file>